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58963d1ab16495b/문서/"/>
    </mc:Choice>
  </mc:AlternateContent>
  <xr:revisionPtr revIDLastSave="5" documentId="13_ncr:20001_{E2DB4D28-EFFD-465F-A39B-284411A6F4FF}" xr6:coauthVersionLast="47" xr6:coauthVersionMax="47" xr10:uidLastSave="{D904D6F3-E7DF-49D4-8594-E092414DB7FA}"/>
  <bookViews>
    <workbookView xWindow="-110" yWindow="-110" windowWidth="25820" windowHeight="15500" xr2:uid="{00000000-000D-0000-FFFF-FFFF00000000}"/>
  </bookViews>
  <sheets>
    <sheet name="평가 입력" sheetId="1" r:id="rId1"/>
    <sheet name="결과 요약" sheetId="2" r:id="rId2"/>
    <sheet name="채점 기준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S12" i="1"/>
  <c r="T12" i="1"/>
  <c r="U11" i="1"/>
  <c r="U10" i="1"/>
  <c r="U9" i="1"/>
  <c r="U8" i="1"/>
  <c r="U6" i="1"/>
  <c r="U12" i="1" s="1"/>
  <c r="U7" i="1"/>
  <c r="U5" i="1"/>
  <c r="L38" i="1"/>
  <c r="L37" i="1"/>
  <c r="L36" i="1"/>
  <c r="L35" i="1"/>
  <c r="L34" i="1"/>
  <c r="L33" i="1"/>
  <c r="L32" i="1"/>
  <c r="L31" i="1"/>
  <c r="L30" i="1"/>
  <c r="L29" i="1"/>
  <c r="L26" i="1"/>
  <c r="L25" i="1"/>
  <c r="L24" i="1"/>
  <c r="L23" i="1"/>
  <c r="L22" i="1"/>
  <c r="L21" i="1"/>
  <c r="L20" i="1"/>
  <c r="L19" i="1"/>
  <c r="L18" i="1"/>
  <c r="L17" i="1"/>
  <c r="C7" i="2"/>
  <c r="D7" i="2" s="1"/>
  <c r="C6" i="2"/>
  <c r="D6" i="2" s="1"/>
  <c r="C5" i="2"/>
  <c r="D5" i="2" s="1"/>
  <c r="C4" i="2"/>
  <c r="D4" i="2" s="1"/>
  <c r="L14" i="1"/>
  <c r="L13" i="1"/>
  <c r="L12" i="1"/>
  <c r="L11" i="1"/>
  <c r="L10" i="1"/>
  <c r="L9" i="1"/>
  <c r="L8" i="1"/>
  <c r="L7" i="1"/>
  <c r="L6" i="1"/>
  <c r="L5" i="1"/>
  <c r="C8" i="2" l="1"/>
  <c r="D8" i="2" s="1"/>
  <c r="D10" i="2" s="1"/>
</calcChain>
</file>

<file path=xl/sharedStrings.xml><?xml version="1.0" encoding="utf-8"?>
<sst xmlns="http://schemas.openxmlformats.org/spreadsheetml/2006/main" count="324" uniqueCount="135">
  <si>
    <t>점수 입력은 0/1/2점 기준이며, 응답시간은 초 단위로 입력하면 자동 환산됩니다. 표현 변형 대응은 8~9번, 답변 불가 처리는 10번만 채점합니다.</t>
  </si>
  <si>
    <t>No.</t>
  </si>
  <si>
    <t>질문 유형</t>
  </si>
  <si>
    <t>테스트 질문</t>
  </si>
  <si>
    <t>정답 근거</t>
  </si>
  <si>
    <t>표현 변형 대응
(0~2)</t>
  </si>
  <si>
    <t>검색 정확도
(0~2)</t>
  </si>
  <si>
    <t>답변 정확도
(0~2)</t>
  </si>
  <si>
    <t>근거 충실도
(0~2)</t>
  </si>
  <si>
    <t>답변 완전성
(0~2)</t>
  </si>
  <si>
    <t>답변 불가 처리
(0~2)</t>
  </si>
  <si>
    <t>응답 시간(초)</t>
  </si>
  <si>
    <t>응답시간 점수
(0~5)</t>
  </si>
  <si>
    <t>평가 메모</t>
  </si>
  <si>
    <t>단순 사실형</t>
  </si>
  <si>
    <t>질문1</t>
  </si>
  <si>
    <t>2025년 월드비전 연차 보고서 p.3</t>
  </si>
  <si>
    <t>-</t>
  </si>
  <si>
    <t>질문2</t>
  </si>
  <si>
    <t>2025년 월드비전 국제사업 임팩트 리포트 p.5</t>
  </si>
  <si>
    <t>절차형</t>
  </si>
  <si>
    <t>질문3</t>
  </si>
  <si>
    <t>2025년 월드비전 연차 보고서 p.7</t>
  </si>
  <si>
    <t>조건 기준형</t>
  </si>
  <si>
    <t>질문4</t>
  </si>
  <si>
    <t>2025년 월드비전 국제사업 임팩트 리포트 p.21</t>
  </si>
  <si>
    <t>질문5</t>
  </si>
  <si>
    <t>2025년 월드비전 국제사업 임팩트 리포트 p.20</t>
  </si>
  <si>
    <t>비교 복합형</t>
  </si>
  <si>
    <t>질문6</t>
  </si>
  <si>
    <t>2025년 월드비전 연차 보고서 p.4</t>
  </si>
  <si>
    <t>질문7</t>
  </si>
  <si>
    <t>제62기 사회복지법인 월드비전 재무제표 감사보고서 p.9</t>
  </si>
  <si>
    <t>표현 변형형</t>
  </si>
  <si>
    <t>질문8</t>
  </si>
  <si>
    <t>질문9</t>
  </si>
  <si>
    <t>2025년 월드비전 국제사업 임팩트 리포트 p.11</t>
  </si>
  <si>
    <t>답변 불가형</t>
  </si>
  <si>
    <t>질문10</t>
  </si>
  <si>
    <t>제공된 자료에서 확인되지 않음</t>
  </si>
  <si>
    <t>월드비전 AI 최종 테스트 정량평가 요약</t>
  </si>
  <si>
    <t>평가 영역</t>
  </si>
  <si>
    <t>배점</t>
  </si>
  <si>
    <t>원점수 평균</t>
  </si>
  <si>
    <t>환산 점수</t>
  </si>
  <si>
    <t>평가 대상</t>
  </si>
  <si>
    <t>설명</t>
  </si>
  <si>
    <t>표현 변형 대응</t>
  </si>
  <si>
    <t>문항 8~9</t>
  </si>
  <si>
    <t>같은 의미를 다르게 표현해도 적절한 답변을 생성하는지 평가</t>
  </si>
  <si>
    <t>검색 정확도</t>
  </si>
  <si>
    <t>문항 1~9</t>
  </si>
  <si>
    <t>정답 근거 문서/페이지 및 핵심 근거 검색 여부</t>
  </si>
  <si>
    <t>답변 품질</t>
  </si>
  <si>
    <t>답변 정확도·근거 충실도·완전성 종합</t>
  </si>
  <si>
    <t>답변 불가 처리</t>
  </si>
  <si>
    <t>문항 10</t>
  </si>
  <si>
    <t>문서에 없는 내용을 추측하지 않고 답변 불가 처리하는지 평가</t>
  </si>
  <si>
    <t>응답 시간</t>
  </si>
  <si>
    <t>문항 1~10</t>
  </si>
  <si>
    <t>응답시간 구간별 점수를 전체 문항 평균으로 반영</t>
  </si>
  <si>
    <t>최종 점수 (100점 만점)</t>
  </si>
  <si>
    <t>응답시간 점수 기준</t>
  </si>
  <si>
    <t>5초 이하</t>
  </si>
  <si>
    <t>5초 초과~8초 이하</t>
  </si>
  <si>
    <t>8초 초과~12초 이하</t>
  </si>
  <si>
    <t>12초 초과~15초 이하</t>
  </si>
  <si>
    <t>15초 초과~20초 이하</t>
  </si>
  <si>
    <t>20초 초과</t>
  </si>
  <si>
    <t>5점</t>
  </si>
  <si>
    <t>4점</t>
  </si>
  <si>
    <t>3점</t>
  </si>
  <si>
    <t>2점</t>
  </si>
  <si>
    <t>1점</t>
  </si>
  <si>
    <t>0점</t>
  </si>
  <si>
    <t>최종 테스트 채점 기준</t>
  </si>
  <si>
    <t>평가 항목</t>
  </si>
  <si>
    <t>점수</t>
  </si>
  <si>
    <t>기준</t>
  </si>
  <si>
    <t>비고</t>
  </si>
  <si>
    <t>답변 정확도</t>
  </si>
  <si>
    <t>2</t>
  </si>
  <si>
    <t>기준 답안과 핵심 내용 일치</t>
  </si>
  <si>
    <t>1</t>
  </si>
  <si>
    <t>대체로 정확하지만 일부 오류/누락</t>
  </si>
  <si>
    <t>0</t>
  </si>
  <si>
    <t>핵심 내용이 틀림</t>
  </si>
  <si>
    <t>근거 충실도</t>
  </si>
  <si>
    <t>답변 전체가 문서 근거로 확인됨</t>
  </si>
  <si>
    <t>일부만 근거로 확인됨</t>
  </si>
  <si>
    <t>근거가 없거나 문서와 모순</t>
  </si>
  <si>
    <t>답변 완전성</t>
  </si>
  <si>
    <t>필수 요소 모두 포함</t>
  </si>
  <si>
    <t>일부 요소 누락</t>
  </si>
  <si>
    <t>핵심 요소 대부분 누락</t>
  </si>
  <si>
    <t>정확하게 답변 불가 처리</t>
  </si>
  <si>
    <t>답변 불가라고 했지만 일부 추측 포함</t>
  </si>
  <si>
    <t>없는 정보를 사실처럼 답변</t>
  </si>
  <si>
    <t>정답 근거 문서/페이지가 검색되고 핵심 근거가 정확히 포함됨</t>
  </si>
  <si>
    <t>관련 근거는 검색됐으나 핵심 근거가 일부 부족하거나 정확한 페이지를 찾지 못함</t>
  </si>
  <si>
    <t>정답과 관련된 근거를 검색하지 못함</t>
  </si>
  <si>
    <t>변형된 표현에도 기준 답안과 동등한 수준으로 답변</t>
  </si>
  <si>
    <t>의도는 파악했으나 답변 일부 누락/저하</t>
  </si>
  <si>
    <t>표현 변형으로 인해 의도 파악 또는 답변에 실패</t>
  </si>
  <si>
    <t>응답시간 환산 기준</t>
  </si>
  <si>
    <t>5초 초과 ~ 8초 이하</t>
  </si>
  <si>
    <t>8초 초과 ~ 12초 이하</t>
  </si>
  <si>
    <t>12초 초과 ~ 15초 이하</t>
  </si>
  <si>
    <t>15초 초과 ~ 20초 이하</t>
  </si>
  <si>
    <r>
      <t>월드비전</t>
    </r>
    <r>
      <rPr>
        <b/>
        <sz val="16"/>
        <rFont val="Carlito"/>
        <family val="2"/>
      </rPr>
      <t xml:space="preserve"> AI </t>
    </r>
    <r>
      <rPr>
        <b/>
        <sz val="16"/>
        <rFont val="Carlito"/>
      </rPr>
      <t>최종</t>
    </r>
    <r>
      <rPr>
        <b/>
        <sz val="16"/>
        <rFont val="Carlito"/>
        <family val="2"/>
      </rPr>
      <t xml:space="preserve"> </t>
    </r>
    <r>
      <rPr>
        <b/>
        <sz val="16"/>
        <rFont val="Carlito"/>
      </rPr>
      <t>테스트</t>
    </r>
    <r>
      <rPr>
        <b/>
        <sz val="16"/>
        <rFont val="Carlito"/>
        <family val="2"/>
      </rPr>
      <t xml:space="preserve"> </t>
    </r>
    <r>
      <rPr>
        <b/>
        <sz val="16"/>
        <rFont val="Carlito"/>
      </rPr>
      <t>평가</t>
    </r>
    <r>
      <rPr>
        <b/>
        <sz val="16"/>
        <rFont val="Carlito"/>
        <family val="2"/>
      </rPr>
      <t xml:space="preserve"> </t>
    </r>
    <r>
      <rPr>
        <b/>
        <sz val="16"/>
        <rFont val="Carlito"/>
      </rPr>
      <t>입력</t>
    </r>
  </si>
  <si>
    <t>1회차</t>
  </si>
  <si>
    <t>1회차</t>
    <phoneticPr fontId="6" type="noConversion"/>
  </si>
  <si>
    <t>2회차</t>
  </si>
  <si>
    <t>2회차</t>
    <phoneticPr fontId="6" type="noConversion"/>
  </si>
  <si>
    <t>3회차</t>
  </si>
  <si>
    <t>3회차</t>
    <phoneticPr fontId="6" type="noConversion"/>
  </si>
  <si>
    <r>
      <rPr>
        <b/>
        <sz val="11"/>
        <rFont val="맑은 고딕"/>
        <family val="3"/>
        <charset val="129"/>
      </rPr>
      <t>표현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변형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 xml:space="preserve">대응
</t>
    </r>
    <r>
      <rPr>
        <b/>
        <sz val="11"/>
        <rFont val="Arial"/>
        <family val="2"/>
      </rPr>
      <t>(0~2)</t>
    </r>
    <phoneticPr fontId="6" type="noConversion"/>
  </si>
  <si>
    <t>평균</t>
  </si>
  <si>
    <t>검색 성능</t>
  </si>
  <si>
    <t>안정성</t>
  </si>
  <si>
    <t>강건성</t>
  </si>
  <si>
    <t>성능</t>
  </si>
  <si>
    <t>합계</t>
  </si>
  <si>
    <t>-</t>
    <phoneticPr fontId="6" type="noConversion"/>
  </si>
  <si>
    <r>
      <t>2025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월드비전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국제사업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임팩트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리포트</t>
    </r>
    <r>
      <rPr>
        <sz val="11"/>
        <rFont val="Arial"/>
        <family val="2"/>
      </rPr>
      <t xml:space="preserve"> p.5</t>
    </r>
    <phoneticPr fontId="6" type="noConversion"/>
  </si>
  <si>
    <t>교육 관련 지원 내용을 제시하고 연차보고서를 참고문서로 검색했으나, p.7의 핵심 근거인 학습환경 개선·교사 역량 강화·교육자료 개발 및 보급을 답변에 포함하지 못함. 관련성은 있으나 기대 답변 3개와의 일치도가 낮아 부분 점수 부여.</t>
    <phoneticPr fontId="6" type="noConversion"/>
  </si>
  <si>
    <t>정답 근거 문서인 국제사업 임팩트 리포트는 검색되었으나, 문서 내 존재하는 ‘지역 주민의 90%가 집에서 왕복 30분 이내 안전한 식수를 이용할 수 있는 상태’라는 핵심 근거를 검색·답변하지 못함. 임의의 정보를 생성하지 않고 답변 불가 처리하여 환각은 발생하지 않음.</t>
    <phoneticPr fontId="6" type="noConversion"/>
  </si>
  <si>
    <t>밥피어스아너클럽의 고액기부자 기준을 ‘1억 원 이상’으로 정확하게 제시하여 기대 답변과 일치함. 관련 근거 문서를 검색하여 답변함.</t>
    <phoneticPr fontId="6" type="noConversion"/>
  </si>
  <si>
    <t>국제사업 수혜자 7,331,669명은 정확히 제시했으나 국내사업 수혜자 1,065,252명을 검색하지 못함. 이에 따라 두 사업의 수치를 모두 제시해야 하는 비교 질문을 부분적으로만 충족했으며, 국내사업 수치 없이 국제사업이 더 많다고 결론지어 부분 점수 부여.</t>
    <phoneticPr fontId="6" type="noConversion"/>
  </si>
  <si>
    <t>관련 재무 문서는 검색되었으나, 사업수익 356,944,656,338원과 사업비용 365,713,280,474원의 비교 근거를 검색하지 못함. 사업수익 대신 다른 총수입 수치를 제시하고 사업비용은 확인하지 못해 비교 질문에 답하지 못함. 임의의 사업비용을 생성하지 않은 점에서 근거 밖 정보 생성은 없음.</t>
    <phoneticPr fontId="6" type="noConversion"/>
  </si>
  <si>
    <t>‘해외’라는 표현을 월드비전의 해외·국제 활동 맥락으로 인식하여 관련 문서를 검색했으나, 기대 답변인 국제사업 수혜자 7,331,669명이 아닌 전체 사업 기준 약 986만 명을 제시함. 표현 변형의 의미는 부분적으로 인식했으나 적절한 수혜자 지표 선택에 실패하여 부분 점수 부여.</t>
    <phoneticPr fontId="6" type="noConversion"/>
  </si>
  <si>
    <r>
      <rPr>
        <sz val="11"/>
        <rFont val="맑은 고딕"/>
        <family val="3"/>
        <charset val="129"/>
      </rPr>
      <t>국제사업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임팩트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리포트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기준</t>
    </r>
    <r>
      <rPr>
        <sz val="11"/>
        <rFont val="Arial"/>
        <family val="2"/>
      </rPr>
      <t xml:space="preserve"> 52</t>
    </r>
    <r>
      <rPr>
        <sz val="11"/>
        <rFont val="맑은 고딕"/>
        <family val="3"/>
        <charset val="129"/>
      </rPr>
      <t>개국</t>
    </r>
    <r>
      <rPr>
        <sz val="11"/>
        <rFont val="Carlito"/>
        <family val="2"/>
        <charset val="129"/>
      </rPr>
      <t>·</t>
    </r>
    <r>
      <rPr>
        <sz val="11"/>
        <rFont val="Arial"/>
        <family val="2"/>
      </rPr>
      <t>259</t>
    </r>
    <r>
      <rPr>
        <sz val="11"/>
        <rFont val="맑은 고딕"/>
        <family val="3"/>
        <charset val="129"/>
      </rPr>
      <t>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사업으로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응답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연차보고서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기준값</t>
    </r>
    <r>
      <rPr>
        <sz val="11"/>
        <rFont val="Arial"/>
        <family val="2"/>
      </rPr>
      <t>(53</t>
    </r>
    <r>
      <rPr>
        <sz val="11"/>
        <rFont val="맑은 고딕"/>
        <family val="3"/>
        <charset val="129"/>
      </rPr>
      <t>개국</t>
    </r>
    <r>
      <rPr>
        <sz val="11"/>
        <rFont val="Carlito"/>
        <family val="2"/>
        <charset val="129"/>
      </rPr>
      <t>·</t>
    </r>
    <r>
      <rPr>
        <sz val="11"/>
        <rFont val="Arial"/>
        <family val="2"/>
      </rPr>
      <t>325</t>
    </r>
    <r>
      <rPr>
        <sz val="11"/>
        <rFont val="맑은 고딕"/>
        <family val="3"/>
        <charset val="129"/>
      </rPr>
      <t>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사업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집계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범위가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다르나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검색된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문서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근거와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일치하여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정답으로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인정</t>
    </r>
    <r>
      <rPr>
        <sz val="11"/>
        <rFont val="Arial"/>
        <family val="2"/>
      </rPr>
      <t>.</t>
    </r>
    <phoneticPr fontId="6" type="noConversion"/>
  </si>
  <si>
    <r>
      <rPr>
        <sz val="11"/>
        <rFont val="맑은 고딕"/>
        <family val="3"/>
        <charset val="129"/>
      </rPr>
      <t>국제사업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수혜자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7,331,669</t>
    </r>
    <r>
      <rPr>
        <sz val="11"/>
        <rFont val="맑은 고딕"/>
        <family val="3"/>
        <charset val="129"/>
      </rPr>
      <t>명을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정확히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제시하였으며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아동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성인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수혜자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세부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수치까지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포함하여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기대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답변과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일치함</t>
    </r>
    <r>
      <rPr>
        <sz val="11"/>
        <rFont val="Arial"/>
        <family val="2"/>
      </rPr>
      <t>.</t>
    </r>
    <phoneticPr fontId="6" type="noConversion"/>
  </si>
  <si>
    <r>
      <rPr>
        <sz val="11"/>
        <rFont val="맑은 고딕"/>
        <family val="3"/>
        <charset val="129"/>
      </rPr>
      <t>제공된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문서에서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직원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평균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연봉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정보를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없다고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명확하게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답변함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문서에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존재하지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정보를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임의로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생성하지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답변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불가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처리가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적절하게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수행됨</t>
    </r>
    <r>
      <rPr>
        <sz val="11"/>
        <rFont val="Arial"/>
        <family val="2"/>
      </rPr>
      <t>.</t>
    </r>
    <phoneticPr fontId="6" type="noConversion"/>
  </si>
  <si>
    <r>
      <t>‘</t>
    </r>
    <r>
      <rPr>
        <sz val="11"/>
        <rFont val="맑은 고딕"/>
        <family val="3"/>
        <charset val="129"/>
      </rPr>
      <t>땅을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다시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살리는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활동</t>
    </r>
    <r>
      <rPr>
        <sz val="11"/>
        <rFont val="Carlito"/>
        <family val="2"/>
        <charset val="129"/>
      </rPr>
      <t>’</t>
    </r>
    <r>
      <rPr>
        <sz val="11"/>
        <rFont val="맑은 고딕"/>
        <family val="3"/>
        <charset val="129"/>
      </rPr>
      <t>이라는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표현을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토지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회복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활동으로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적절히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해석하고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주민주도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천연갱신</t>
    </r>
    <r>
      <rPr>
        <sz val="11"/>
        <rFont val="Arial"/>
        <family val="2"/>
      </rPr>
      <t xml:space="preserve">(FMNR)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생태계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보전을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통한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토지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회복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내용을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정확하게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제시함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기대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답변과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일치하며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근거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문서를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적절히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검색함</t>
    </r>
    <r>
      <rPr>
        <sz val="11"/>
        <rFont val="Arial"/>
        <family val="2"/>
      </rPr>
      <t>.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</si>
</sst>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점&quot;"/>
    <numFmt numFmtId="177" formatCode="0.00_ "/>
  </numFmts>
  <fonts count="18">
    <font>
      <sz val="11"/>
      <name val="Carlito"/>
    </font>
    <font>
      <b/>
      <sz val="16"/>
      <color rgb="FFFFFFFF"/>
      <name val="Carlito"/>
    </font>
    <font>
      <sz val="10"/>
      <color rgb="FF1F2937"/>
      <name val="Carlito"/>
    </font>
    <font>
      <b/>
      <sz val="11"/>
      <color rgb="FFFFFFFF"/>
      <name val="Carlito"/>
    </font>
    <font>
      <b/>
      <sz val="13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name val="Carlito"/>
    </font>
    <font>
      <b/>
      <sz val="11"/>
      <name val="Carlito"/>
      <family val="3"/>
      <charset val="129"/>
    </font>
    <font>
      <b/>
      <sz val="11"/>
      <name val="맑은 고딕"/>
      <family val="3"/>
      <charset val="129"/>
    </font>
    <font>
      <b/>
      <sz val="11"/>
      <name val="Arial"/>
      <family val="2"/>
    </font>
    <font>
      <b/>
      <sz val="16"/>
      <name val="Carlito"/>
    </font>
    <font>
      <b/>
      <sz val="16"/>
      <name val="Carlito"/>
      <family val="2"/>
    </font>
    <font>
      <b/>
      <sz val="11"/>
      <name val="Carlito"/>
      <family val="2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2"/>
      <charset val="129"/>
    </font>
    <font>
      <sz val="11"/>
      <name val="Carlito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176" fontId="4" fillId="5" borderId="0" xfId="1" applyNumberFormat="1" applyFont="1" applyFill="1"/>
    <xf numFmtId="2" fontId="0" fillId="0" borderId="0" xfId="1" applyNumberFormat="1" applyFont="1" applyAlignment="1">
      <alignment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1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4" fillId="5" borderId="0" xfId="1" applyFont="1" applyFill="1"/>
    <xf numFmtId="0" fontId="3" fillId="6" borderId="0" xfId="1" applyFont="1" applyFill="1" applyAlignment="1">
      <alignment horizontal="center"/>
    </xf>
    <xf numFmtId="0" fontId="17" fillId="0" borderId="1" xfId="1" applyFont="1" applyBorder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평가 영역별 배점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배점</c:v>
          </c:tx>
          <c:invertIfNegative val="1"/>
          <c:cat>
            <c:strRef>
              <c:f>'결과 요약'!$A$4:$A$8</c:f>
              <c:strCache>
                <c:ptCount val="5"/>
                <c:pt idx="0">
                  <c:v>표현 변형 대응</c:v>
                </c:pt>
                <c:pt idx="1">
                  <c:v>검색 정확도</c:v>
                </c:pt>
                <c:pt idx="2">
                  <c:v>답변 품질</c:v>
                </c:pt>
                <c:pt idx="3">
                  <c:v>답변 불가 처리</c:v>
                </c:pt>
                <c:pt idx="4">
                  <c:v>응답 시간</c:v>
                </c:pt>
              </c:strCache>
            </c:strRef>
          </c:cat>
          <c:val>
            <c:numRef>
              <c:f>'결과 요약'!$B$4:$B$8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4-493D-AAFF-0DDDB4B6C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zoomScale="65" zoomScaleNormal="65" workbookViewId="0">
      <selection activeCell="E4" sqref="E4:E39"/>
    </sheetView>
  </sheetViews>
  <sheetFormatPr defaultRowHeight="14"/>
  <cols>
    <col min="1" max="1" width="6" customWidth="1"/>
    <col min="2" max="2" width="14" customWidth="1"/>
    <col min="3" max="3" width="15.58203125" customWidth="1"/>
    <col min="4" max="4" width="34" customWidth="1"/>
    <col min="5" max="9" width="14" customWidth="1"/>
    <col min="10" max="10" width="15" customWidth="1"/>
    <col min="11" max="11" width="13" customWidth="1"/>
    <col min="12" max="12" width="15" customWidth="1"/>
    <col min="13" max="13" width="150.58203125" customWidth="1"/>
    <col min="15" max="16" width="15.58203125" customWidth="1"/>
    <col min="18" max="21" width="13.58203125" customWidth="1"/>
  </cols>
  <sheetData>
    <row r="1" spans="1:21" ht="18.649999999999999" customHeight="1">
      <c r="A1" s="17" t="s">
        <v>109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21" ht="25.4" customHeight="1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</row>
    <row r="3" spans="1:21">
      <c r="A3" t="s">
        <v>111</v>
      </c>
    </row>
    <row r="4" spans="1:21" ht="38.75" customHeight="1">
      <c r="A4" s="6" t="s">
        <v>1</v>
      </c>
      <c r="B4" s="6" t="s">
        <v>2</v>
      </c>
      <c r="C4" s="6" t="s">
        <v>3</v>
      </c>
      <c r="D4" s="6" t="s">
        <v>4</v>
      </c>
      <c r="E4" s="7" t="s">
        <v>116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O4" s="10" t="s">
        <v>41</v>
      </c>
      <c r="P4" s="10" t="s">
        <v>76</v>
      </c>
      <c r="Q4" s="10" t="s">
        <v>42</v>
      </c>
      <c r="R4" s="10" t="s">
        <v>110</v>
      </c>
      <c r="S4" s="10" t="s">
        <v>112</v>
      </c>
      <c r="T4" s="10" t="s">
        <v>114</v>
      </c>
      <c r="U4" s="10" t="s">
        <v>117</v>
      </c>
    </row>
    <row r="5" spans="1:21" ht="38.65" customHeight="1">
      <c r="A5" s="8">
        <v>1</v>
      </c>
      <c r="B5" s="8" t="s">
        <v>14</v>
      </c>
      <c r="C5" s="8" t="s">
        <v>15</v>
      </c>
      <c r="D5" s="8" t="s">
        <v>16</v>
      </c>
      <c r="E5" s="8" t="s">
        <v>123</v>
      </c>
      <c r="F5" s="8">
        <v>2</v>
      </c>
      <c r="G5" s="8">
        <v>2</v>
      </c>
      <c r="H5" s="8">
        <v>2</v>
      </c>
      <c r="I5" s="8">
        <v>2</v>
      </c>
      <c r="J5" s="8" t="s">
        <v>17</v>
      </c>
      <c r="K5" s="8">
        <v>7.89</v>
      </c>
      <c r="L5" s="8">
        <f t="shared" ref="L5:L14" si="0">IF(K5="","",IF(K5&lt;=5,5,IF(K5&lt;=8,4,IF(K5&lt;=12,3,IF(K5&lt;=15,2,IF(K5&lt;=20,1,0))))))</f>
        <v>4</v>
      </c>
      <c r="M5" s="27" t="s">
        <v>131</v>
      </c>
      <c r="O5" s="11" t="s">
        <v>118</v>
      </c>
      <c r="P5" s="12" t="s">
        <v>50</v>
      </c>
      <c r="Q5" s="12">
        <v>20</v>
      </c>
      <c r="R5" s="12">
        <v>14.44</v>
      </c>
      <c r="S5" s="12">
        <v>14.44</v>
      </c>
      <c r="T5" s="12">
        <v>14.44</v>
      </c>
      <c r="U5" s="12">
        <f>AVERAGE(R5:T5)</f>
        <v>14.44</v>
      </c>
    </row>
    <row r="6" spans="1:21" ht="38.65" customHeight="1">
      <c r="A6" s="8">
        <v>2</v>
      </c>
      <c r="B6" s="8" t="s">
        <v>14</v>
      </c>
      <c r="C6" s="8" t="s">
        <v>18</v>
      </c>
      <c r="D6" s="8" t="s">
        <v>124</v>
      </c>
      <c r="E6" s="8" t="s">
        <v>17</v>
      </c>
      <c r="F6" s="8">
        <v>2</v>
      </c>
      <c r="G6" s="8">
        <v>2</v>
      </c>
      <c r="H6" s="8">
        <v>2</v>
      </c>
      <c r="I6" s="8">
        <v>2</v>
      </c>
      <c r="J6" s="8" t="s">
        <v>17</v>
      </c>
      <c r="K6" s="8">
        <v>3.28</v>
      </c>
      <c r="L6" s="8">
        <f t="shared" si="0"/>
        <v>5</v>
      </c>
      <c r="M6" s="27" t="s">
        <v>132</v>
      </c>
      <c r="O6" s="21" t="s">
        <v>53</v>
      </c>
      <c r="P6" s="12" t="s">
        <v>80</v>
      </c>
      <c r="Q6" s="12">
        <v>20</v>
      </c>
      <c r="R6" s="12">
        <v>11.11</v>
      </c>
      <c r="S6" s="12">
        <v>11.11</v>
      </c>
      <c r="T6" s="12">
        <v>11.11</v>
      </c>
      <c r="U6" s="12">
        <f>AVERAGE(R6:T6)</f>
        <v>11.11</v>
      </c>
    </row>
    <row r="7" spans="1:21" ht="38.65" customHeight="1">
      <c r="A7" s="8">
        <v>3</v>
      </c>
      <c r="B7" s="8" t="s">
        <v>20</v>
      </c>
      <c r="C7" s="8" t="s">
        <v>21</v>
      </c>
      <c r="D7" s="8" t="s">
        <v>22</v>
      </c>
      <c r="E7" s="8" t="s">
        <v>17</v>
      </c>
      <c r="F7" s="8">
        <v>1</v>
      </c>
      <c r="G7" s="8">
        <v>1</v>
      </c>
      <c r="H7" s="8">
        <v>1</v>
      </c>
      <c r="I7" s="8">
        <v>0</v>
      </c>
      <c r="J7" s="8" t="s">
        <v>17</v>
      </c>
      <c r="K7" s="8">
        <v>3.66</v>
      </c>
      <c r="L7" s="8">
        <f t="shared" si="0"/>
        <v>5</v>
      </c>
      <c r="M7" s="14" t="s">
        <v>125</v>
      </c>
      <c r="O7" s="22"/>
      <c r="P7" s="12" t="s">
        <v>87</v>
      </c>
      <c r="Q7" s="12">
        <v>15</v>
      </c>
      <c r="R7" s="12">
        <v>14.17</v>
      </c>
      <c r="S7" s="12">
        <v>14.17</v>
      </c>
      <c r="T7" s="12">
        <v>14.17</v>
      </c>
      <c r="U7" s="12">
        <f>AVERAGE(R7:T7)</f>
        <v>14.17</v>
      </c>
    </row>
    <row r="8" spans="1:21" ht="38.65" customHeight="1">
      <c r="A8" s="8">
        <v>4</v>
      </c>
      <c r="B8" s="8" t="s">
        <v>23</v>
      </c>
      <c r="C8" s="8" t="s">
        <v>24</v>
      </c>
      <c r="D8" s="8" t="s">
        <v>25</v>
      </c>
      <c r="E8" s="8" t="s">
        <v>17</v>
      </c>
      <c r="F8" s="8">
        <v>1</v>
      </c>
      <c r="G8" s="8">
        <v>0</v>
      </c>
      <c r="H8" s="8">
        <v>2</v>
      </c>
      <c r="I8" s="8">
        <v>0</v>
      </c>
      <c r="J8" s="8" t="s">
        <v>17</v>
      </c>
      <c r="K8" s="8">
        <v>2.4900000000000002</v>
      </c>
      <c r="L8" s="8">
        <f t="shared" si="0"/>
        <v>5</v>
      </c>
      <c r="M8" s="9" t="s">
        <v>126</v>
      </c>
      <c r="O8" s="23"/>
      <c r="P8" s="12" t="s">
        <v>91</v>
      </c>
      <c r="Q8" s="12">
        <v>15</v>
      </c>
      <c r="R8" s="12">
        <v>7.5</v>
      </c>
      <c r="S8" s="12">
        <v>7.5</v>
      </c>
      <c r="T8" s="12">
        <v>7.5</v>
      </c>
      <c r="U8" s="12">
        <f>AVERAGE(R8:T8)</f>
        <v>7.5</v>
      </c>
    </row>
    <row r="9" spans="1:21" ht="38.65" customHeight="1">
      <c r="A9" s="8">
        <v>5</v>
      </c>
      <c r="B9" s="8" t="s">
        <v>23</v>
      </c>
      <c r="C9" s="8" t="s">
        <v>26</v>
      </c>
      <c r="D9" s="8" t="s">
        <v>27</v>
      </c>
      <c r="E9" s="8" t="s">
        <v>17</v>
      </c>
      <c r="F9" s="8">
        <v>2</v>
      </c>
      <c r="G9" s="8">
        <v>2</v>
      </c>
      <c r="H9" s="8">
        <v>2</v>
      </c>
      <c r="I9" s="8">
        <v>2</v>
      </c>
      <c r="J9" s="8" t="s">
        <v>17</v>
      </c>
      <c r="K9" s="8">
        <v>2.64</v>
      </c>
      <c r="L9" s="8">
        <f t="shared" si="0"/>
        <v>5</v>
      </c>
      <c r="M9" s="9" t="s">
        <v>127</v>
      </c>
      <c r="O9" s="11" t="s">
        <v>119</v>
      </c>
      <c r="P9" s="12" t="s">
        <v>55</v>
      </c>
      <c r="Q9" s="12">
        <v>15</v>
      </c>
      <c r="R9" s="12">
        <v>15</v>
      </c>
      <c r="S9" s="12">
        <v>15</v>
      </c>
      <c r="T9" s="12">
        <v>15</v>
      </c>
      <c r="U9" s="12">
        <f t="shared" ref="U9:U11" si="1">AVERAGE(R9:T9)</f>
        <v>15</v>
      </c>
    </row>
    <row r="10" spans="1:21" ht="38.65" customHeight="1">
      <c r="A10" s="8">
        <v>6</v>
      </c>
      <c r="B10" s="8" t="s">
        <v>28</v>
      </c>
      <c r="C10" s="8" t="s">
        <v>29</v>
      </c>
      <c r="D10" s="8" t="s">
        <v>30</v>
      </c>
      <c r="E10" s="8" t="s">
        <v>17</v>
      </c>
      <c r="F10" s="8">
        <v>1</v>
      </c>
      <c r="G10" s="8">
        <v>1</v>
      </c>
      <c r="H10" s="8">
        <v>2</v>
      </c>
      <c r="I10" s="8">
        <v>1</v>
      </c>
      <c r="J10" s="8" t="s">
        <v>17</v>
      </c>
      <c r="K10" s="8">
        <v>2.42</v>
      </c>
      <c r="L10" s="8">
        <f t="shared" si="0"/>
        <v>5</v>
      </c>
      <c r="M10" s="9" t="s">
        <v>128</v>
      </c>
      <c r="O10" s="11" t="s">
        <v>120</v>
      </c>
      <c r="P10" s="12" t="s">
        <v>47</v>
      </c>
      <c r="Q10" s="12">
        <v>10</v>
      </c>
      <c r="R10" s="12">
        <v>7.5</v>
      </c>
      <c r="S10" s="12">
        <v>7.5</v>
      </c>
      <c r="T10" s="12">
        <v>7.5</v>
      </c>
      <c r="U10" s="12">
        <f t="shared" si="1"/>
        <v>7.5</v>
      </c>
    </row>
    <row r="11" spans="1:21" ht="38.65" customHeight="1">
      <c r="A11" s="8">
        <v>7</v>
      </c>
      <c r="B11" s="8" t="s">
        <v>28</v>
      </c>
      <c r="C11" s="8" t="s">
        <v>31</v>
      </c>
      <c r="D11" s="8" t="s">
        <v>32</v>
      </c>
      <c r="E11" s="8" t="s">
        <v>17</v>
      </c>
      <c r="F11" s="8">
        <v>1</v>
      </c>
      <c r="G11" s="8">
        <v>0</v>
      </c>
      <c r="H11" s="8">
        <v>2</v>
      </c>
      <c r="I11" s="8">
        <v>0</v>
      </c>
      <c r="J11" s="8" t="s">
        <v>17</v>
      </c>
      <c r="K11" s="8">
        <v>2.0499999999999998</v>
      </c>
      <c r="L11" s="8">
        <f t="shared" si="0"/>
        <v>5</v>
      </c>
      <c r="M11" s="9" t="s">
        <v>129</v>
      </c>
      <c r="O11" s="11" t="s">
        <v>121</v>
      </c>
      <c r="P11" s="12" t="s">
        <v>58</v>
      </c>
      <c r="Q11" s="12">
        <v>5</v>
      </c>
      <c r="R11" s="12">
        <v>4.9000000000000004</v>
      </c>
      <c r="S11" s="12">
        <v>5</v>
      </c>
      <c r="T11" s="12">
        <v>5</v>
      </c>
      <c r="U11" s="15">
        <f t="shared" si="1"/>
        <v>4.9666666666666668</v>
      </c>
    </row>
    <row r="12" spans="1:21" ht="38.75" customHeight="1">
      <c r="A12" s="8">
        <v>8</v>
      </c>
      <c r="B12" s="8" t="s">
        <v>33</v>
      </c>
      <c r="C12" s="8" t="s">
        <v>34</v>
      </c>
      <c r="D12" s="8" t="s">
        <v>30</v>
      </c>
      <c r="E12" s="8">
        <v>1</v>
      </c>
      <c r="F12" s="8">
        <v>1</v>
      </c>
      <c r="G12" s="8">
        <v>0</v>
      </c>
      <c r="H12" s="8">
        <v>2</v>
      </c>
      <c r="I12" s="8">
        <v>0</v>
      </c>
      <c r="J12" s="8" t="s">
        <v>17</v>
      </c>
      <c r="K12" s="8">
        <v>2.13</v>
      </c>
      <c r="L12" s="8">
        <f t="shared" si="0"/>
        <v>5</v>
      </c>
      <c r="M12" s="9" t="s">
        <v>130</v>
      </c>
      <c r="O12" s="10" t="s">
        <v>122</v>
      </c>
      <c r="P12" s="12"/>
      <c r="Q12" s="13">
        <v>100</v>
      </c>
      <c r="R12" s="13">
        <f>SUM(R5:R11)</f>
        <v>74.62</v>
      </c>
      <c r="S12" s="13">
        <f>SUM(S5:S11)</f>
        <v>74.72</v>
      </c>
      <c r="T12" s="13">
        <f>SUM(T5:T11)</f>
        <v>74.72</v>
      </c>
      <c r="U12" s="16">
        <f>SUM(U5:U11)</f>
        <v>74.686666666666667</v>
      </c>
    </row>
    <row r="13" spans="1:21" ht="38.65" customHeight="1">
      <c r="A13" s="8">
        <v>9</v>
      </c>
      <c r="B13" s="8" t="s">
        <v>33</v>
      </c>
      <c r="C13" s="8" t="s">
        <v>35</v>
      </c>
      <c r="D13" s="8" t="s">
        <v>36</v>
      </c>
      <c r="E13" s="8">
        <v>2</v>
      </c>
      <c r="F13" s="8">
        <v>2</v>
      </c>
      <c r="G13" s="8">
        <v>2</v>
      </c>
      <c r="H13" s="8">
        <v>2</v>
      </c>
      <c r="I13" s="8">
        <v>2</v>
      </c>
      <c r="J13" s="8" t="s">
        <v>17</v>
      </c>
      <c r="K13" s="8">
        <v>2.5299999999999998</v>
      </c>
      <c r="L13" s="8">
        <f t="shared" si="0"/>
        <v>5</v>
      </c>
      <c r="M13" s="9" t="s">
        <v>134</v>
      </c>
    </row>
    <row r="14" spans="1:21" ht="38.65" customHeight="1">
      <c r="A14" s="8">
        <v>10</v>
      </c>
      <c r="B14" s="8" t="s">
        <v>37</v>
      </c>
      <c r="C14" s="8" t="s">
        <v>38</v>
      </c>
      <c r="D14" s="8" t="s">
        <v>39</v>
      </c>
      <c r="E14" s="8" t="s">
        <v>17</v>
      </c>
      <c r="F14" s="8">
        <v>2</v>
      </c>
      <c r="G14" s="8">
        <v>2</v>
      </c>
      <c r="H14" s="8">
        <v>2</v>
      </c>
      <c r="I14" s="8">
        <v>2</v>
      </c>
      <c r="J14" s="8">
        <v>2</v>
      </c>
      <c r="K14" s="8">
        <v>1.57</v>
      </c>
      <c r="L14" s="8">
        <f t="shared" si="0"/>
        <v>5</v>
      </c>
      <c r="M14" s="27" t="s">
        <v>133</v>
      </c>
    </row>
    <row r="15" spans="1:21" ht="14" customHeight="1">
      <c r="A15" t="s">
        <v>113</v>
      </c>
    </row>
    <row r="16" spans="1:21" ht="38.75" customHeight="1">
      <c r="A16" s="6" t="s">
        <v>1</v>
      </c>
      <c r="B16" s="6" t="s">
        <v>2</v>
      </c>
      <c r="C16" s="6" t="s">
        <v>3</v>
      </c>
      <c r="D16" s="6" t="s">
        <v>4</v>
      </c>
      <c r="E16" s="6" t="s">
        <v>5</v>
      </c>
      <c r="F16" s="6" t="s">
        <v>6</v>
      </c>
      <c r="G16" s="6" t="s">
        <v>7</v>
      </c>
      <c r="H16" s="6" t="s">
        <v>8</v>
      </c>
      <c r="I16" s="6" t="s">
        <v>9</v>
      </c>
      <c r="J16" s="6" t="s">
        <v>10</v>
      </c>
      <c r="K16" s="6" t="s">
        <v>11</v>
      </c>
      <c r="L16" s="6" t="s">
        <v>12</v>
      </c>
      <c r="M16" s="6" t="s">
        <v>13</v>
      </c>
    </row>
    <row r="17" spans="1:13" ht="38.75" customHeight="1">
      <c r="A17" s="8">
        <v>1</v>
      </c>
      <c r="B17" s="8" t="s">
        <v>14</v>
      </c>
      <c r="C17" s="8" t="s">
        <v>15</v>
      </c>
      <c r="D17" s="8" t="s">
        <v>16</v>
      </c>
      <c r="E17" s="8" t="s">
        <v>17</v>
      </c>
      <c r="F17" s="8">
        <v>2</v>
      </c>
      <c r="G17" s="8">
        <v>2</v>
      </c>
      <c r="H17" s="8">
        <v>2</v>
      </c>
      <c r="I17" s="8">
        <v>2</v>
      </c>
      <c r="J17" s="8" t="s">
        <v>17</v>
      </c>
      <c r="K17" s="8">
        <v>1.83</v>
      </c>
      <c r="L17" s="8">
        <f t="shared" ref="L17:L26" si="2">IF(K17="","",IF(K17&lt;=5,5,IF(K17&lt;=8,4,IF(K17&lt;=12,3,IF(K17&lt;=15,2,IF(K17&lt;=20,1,0))))))</f>
        <v>5</v>
      </c>
      <c r="M17" s="9"/>
    </row>
    <row r="18" spans="1:13" ht="38.75" customHeight="1">
      <c r="A18" s="8">
        <v>2</v>
      </c>
      <c r="B18" s="8" t="s">
        <v>14</v>
      </c>
      <c r="C18" s="8" t="s">
        <v>18</v>
      </c>
      <c r="D18" s="8" t="s">
        <v>19</v>
      </c>
      <c r="E18" s="8" t="s">
        <v>17</v>
      </c>
      <c r="F18" s="8">
        <v>2</v>
      </c>
      <c r="G18" s="8">
        <v>2</v>
      </c>
      <c r="H18" s="8">
        <v>2</v>
      </c>
      <c r="I18" s="8">
        <v>2</v>
      </c>
      <c r="J18" s="8">
        <v>2</v>
      </c>
      <c r="K18" s="8">
        <v>2.2000000000000002</v>
      </c>
      <c r="L18" s="8">
        <f t="shared" si="2"/>
        <v>5</v>
      </c>
      <c r="M18" s="9"/>
    </row>
    <row r="19" spans="1:13" ht="38.75" customHeight="1">
      <c r="A19" s="8">
        <v>3</v>
      </c>
      <c r="B19" s="8" t="s">
        <v>20</v>
      </c>
      <c r="C19" s="8" t="s">
        <v>21</v>
      </c>
      <c r="D19" s="8" t="s">
        <v>22</v>
      </c>
      <c r="E19" s="8" t="s">
        <v>17</v>
      </c>
      <c r="F19" s="8">
        <v>1</v>
      </c>
      <c r="G19" s="8">
        <v>1</v>
      </c>
      <c r="H19" s="8">
        <v>1</v>
      </c>
      <c r="I19" s="8">
        <v>0</v>
      </c>
      <c r="J19" s="8" t="s">
        <v>17</v>
      </c>
      <c r="K19" s="8">
        <v>4.87</v>
      </c>
      <c r="L19" s="8">
        <f t="shared" si="2"/>
        <v>5</v>
      </c>
      <c r="M19" s="9"/>
    </row>
    <row r="20" spans="1:13" ht="38.75" customHeight="1">
      <c r="A20" s="8">
        <v>4</v>
      </c>
      <c r="B20" s="8" t="s">
        <v>23</v>
      </c>
      <c r="C20" s="8" t="s">
        <v>24</v>
      </c>
      <c r="D20" s="8" t="s">
        <v>25</v>
      </c>
      <c r="E20" s="8" t="s">
        <v>17</v>
      </c>
      <c r="F20" s="8">
        <v>1</v>
      </c>
      <c r="G20" s="8">
        <v>0</v>
      </c>
      <c r="H20" s="8">
        <v>2</v>
      </c>
      <c r="I20" s="8">
        <v>0</v>
      </c>
      <c r="J20" s="8" t="s">
        <v>17</v>
      </c>
      <c r="K20" s="8">
        <v>2.41</v>
      </c>
      <c r="L20" s="8">
        <f t="shared" si="2"/>
        <v>5</v>
      </c>
      <c r="M20" s="9"/>
    </row>
    <row r="21" spans="1:13" ht="38.75" customHeight="1">
      <c r="A21" s="8">
        <v>5</v>
      </c>
      <c r="B21" s="8" t="s">
        <v>23</v>
      </c>
      <c r="C21" s="8" t="s">
        <v>26</v>
      </c>
      <c r="D21" s="8" t="s">
        <v>27</v>
      </c>
      <c r="E21" s="8" t="s">
        <v>17</v>
      </c>
      <c r="F21" s="8">
        <v>2</v>
      </c>
      <c r="G21" s="8">
        <v>2</v>
      </c>
      <c r="H21" s="8">
        <v>2</v>
      </c>
      <c r="I21" s="8">
        <v>2</v>
      </c>
      <c r="J21" s="8" t="s">
        <v>17</v>
      </c>
      <c r="K21" s="8">
        <v>2.4</v>
      </c>
      <c r="L21" s="8">
        <f t="shared" si="2"/>
        <v>5</v>
      </c>
      <c r="M21" s="9"/>
    </row>
    <row r="22" spans="1:13" ht="38.75" customHeight="1">
      <c r="A22" s="8">
        <v>6</v>
      </c>
      <c r="B22" s="8" t="s">
        <v>28</v>
      </c>
      <c r="C22" s="8" t="s">
        <v>29</v>
      </c>
      <c r="D22" s="8" t="s">
        <v>30</v>
      </c>
      <c r="E22" s="8" t="s">
        <v>17</v>
      </c>
      <c r="F22" s="8">
        <v>1</v>
      </c>
      <c r="G22" s="8">
        <v>1</v>
      </c>
      <c r="H22" s="8">
        <v>2</v>
      </c>
      <c r="I22" s="8">
        <v>1</v>
      </c>
      <c r="J22" s="8" t="s">
        <v>17</v>
      </c>
      <c r="K22" s="8">
        <v>2.63</v>
      </c>
      <c r="L22" s="8">
        <f t="shared" si="2"/>
        <v>5</v>
      </c>
      <c r="M22" s="9"/>
    </row>
    <row r="23" spans="1:13" ht="38.75" customHeight="1">
      <c r="A23" s="8">
        <v>7</v>
      </c>
      <c r="B23" s="8" t="s">
        <v>28</v>
      </c>
      <c r="C23" s="8" t="s">
        <v>31</v>
      </c>
      <c r="D23" s="8" t="s">
        <v>32</v>
      </c>
      <c r="E23" s="8" t="s">
        <v>17</v>
      </c>
      <c r="F23" s="8">
        <v>1</v>
      </c>
      <c r="G23" s="8">
        <v>0</v>
      </c>
      <c r="H23" s="8">
        <v>2</v>
      </c>
      <c r="I23" s="8">
        <v>0</v>
      </c>
      <c r="J23" s="8" t="s">
        <v>17</v>
      </c>
      <c r="K23" s="8">
        <v>3.72</v>
      </c>
      <c r="L23" s="8">
        <f t="shared" si="2"/>
        <v>5</v>
      </c>
      <c r="M23" s="9"/>
    </row>
    <row r="24" spans="1:13" ht="38.75" customHeight="1">
      <c r="A24" s="8">
        <v>8</v>
      </c>
      <c r="B24" s="8" t="s">
        <v>33</v>
      </c>
      <c r="C24" s="8" t="s">
        <v>34</v>
      </c>
      <c r="D24" s="8" t="s">
        <v>30</v>
      </c>
      <c r="E24" s="8">
        <v>1</v>
      </c>
      <c r="F24" s="8">
        <v>1</v>
      </c>
      <c r="G24" s="8">
        <v>0</v>
      </c>
      <c r="H24" s="8">
        <v>2</v>
      </c>
      <c r="I24" s="8">
        <v>0</v>
      </c>
      <c r="J24" s="8" t="s">
        <v>17</v>
      </c>
      <c r="K24" s="8">
        <v>2.35</v>
      </c>
      <c r="L24" s="8">
        <f t="shared" si="2"/>
        <v>5</v>
      </c>
      <c r="M24" s="9"/>
    </row>
    <row r="25" spans="1:13" ht="38.75" customHeight="1">
      <c r="A25" s="8">
        <v>9</v>
      </c>
      <c r="B25" s="8" t="s">
        <v>33</v>
      </c>
      <c r="C25" s="8" t="s">
        <v>35</v>
      </c>
      <c r="D25" s="8" t="s">
        <v>36</v>
      </c>
      <c r="E25" s="8">
        <v>2</v>
      </c>
      <c r="F25" s="8">
        <v>2</v>
      </c>
      <c r="G25" s="8">
        <v>2</v>
      </c>
      <c r="H25" s="8">
        <v>2</v>
      </c>
      <c r="I25" s="8">
        <v>2</v>
      </c>
      <c r="J25" s="8" t="s">
        <v>17</v>
      </c>
      <c r="K25" s="8">
        <v>2.5299999999999998</v>
      </c>
      <c r="L25" s="8">
        <f t="shared" si="2"/>
        <v>5</v>
      </c>
      <c r="M25" s="9"/>
    </row>
    <row r="26" spans="1:13" ht="38.75" customHeight="1">
      <c r="A26" s="8">
        <v>10</v>
      </c>
      <c r="B26" s="8" t="s">
        <v>37</v>
      </c>
      <c r="C26" s="8" t="s">
        <v>38</v>
      </c>
      <c r="D26" s="8" t="s">
        <v>39</v>
      </c>
      <c r="E26" s="8" t="s">
        <v>17</v>
      </c>
      <c r="F26" s="8">
        <v>2</v>
      </c>
      <c r="G26" s="8">
        <v>2</v>
      </c>
      <c r="H26" s="8">
        <v>2</v>
      </c>
      <c r="I26" s="8">
        <v>2</v>
      </c>
      <c r="J26" s="8">
        <v>2</v>
      </c>
      <c r="K26" s="8">
        <v>1.86</v>
      </c>
      <c r="L26" s="8">
        <f t="shared" si="2"/>
        <v>5</v>
      </c>
      <c r="M26" s="9"/>
    </row>
    <row r="27" spans="1:13" ht="14" customHeight="1">
      <c r="A27" t="s">
        <v>115</v>
      </c>
    </row>
    <row r="28" spans="1:13" ht="38.75" customHeight="1">
      <c r="A28" s="6" t="s">
        <v>1</v>
      </c>
      <c r="B28" s="6" t="s">
        <v>2</v>
      </c>
      <c r="C28" s="6" t="s">
        <v>3</v>
      </c>
      <c r="D28" s="6" t="s">
        <v>4</v>
      </c>
      <c r="E28" s="6" t="s">
        <v>5</v>
      </c>
      <c r="F28" s="6" t="s">
        <v>6</v>
      </c>
      <c r="G28" s="6" t="s">
        <v>7</v>
      </c>
      <c r="H28" s="6" t="s">
        <v>8</v>
      </c>
      <c r="I28" s="6" t="s">
        <v>9</v>
      </c>
      <c r="J28" s="6" t="s">
        <v>10</v>
      </c>
      <c r="K28" s="6" t="s">
        <v>11</v>
      </c>
      <c r="L28" s="6" t="s">
        <v>12</v>
      </c>
      <c r="M28" s="6" t="s">
        <v>13</v>
      </c>
    </row>
    <row r="29" spans="1:13" ht="38.75" customHeight="1">
      <c r="A29" s="8">
        <v>1</v>
      </c>
      <c r="B29" s="8" t="s">
        <v>14</v>
      </c>
      <c r="C29" s="8" t="s">
        <v>15</v>
      </c>
      <c r="D29" s="8" t="s">
        <v>16</v>
      </c>
      <c r="E29" s="8" t="s">
        <v>17</v>
      </c>
      <c r="F29" s="8">
        <v>2</v>
      </c>
      <c r="G29" s="8">
        <v>2</v>
      </c>
      <c r="H29" s="8">
        <v>2</v>
      </c>
      <c r="I29" s="8">
        <v>2</v>
      </c>
      <c r="J29" s="8" t="s">
        <v>17</v>
      </c>
      <c r="K29" s="8">
        <v>2.19</v>
      </c>
      <c r="L29" s="8">
        <f t="shared" ref="L29:L38" si="3">IF(K29="","",IF(K29&lt;=5,5,IF(K29&lt;=8,4,IF(K29&lt;=12,3,IF(K29&lt;=15,2,IF(K29&lt;=20,1,0))))))</f>
        <v>5</v>
      </c>
      <c r="M29" s="9"/>
    </row>
    <row r="30" spans="1:13" ht="38.75" customHeight="1">
      <c r="A30" s="8">
        <v>2</v>
      </c>
      <c r="B30" s="8" t="s">
        <v>14</v>
      </c>
      <c r="C30" s="8" t="s">
        <v>18</v>
      </c>
      <c r="D30" s="8" t="s">
        <v>19</v>
      </c>
      <c r="E30" s="8" t="s">
        <v>17</v>
      </c>
      <c r="F30" s="8">
        <v>2</v>
      </c>
      <c r="G30" s="8">
        <v>2</v>
      </c>
      <c r="H30" s="8">
        <v>2</v>
      </c>
      <c r="I30" s="8">
        <v>2</v>
      </c>
      <c r="J30" s="8" t="s">
        <v>17</v>
      </c>
      <c r="K30" s="8">
        <v>1.42</v>
      </c>
      <c r="L30" s="8">
        <f t="shared" si="3"/>
        <v>5</v>
      </c>
      <c r="M30" s="9"/>
    </row>
    <row r="31" spans="1:13" ht="38.75" customHeight="1">
      <c r="A31" s="8">
        <v>3</v>
      </c>
      <c r="B31" s="8" t="s">
        <v>20</v>
      </c>
      <c r="C31" s="8" t="s">
        <v>21</v>
      </c>
      <c r="D31" s="8" t="s">
        <v>22</v>
      </c>
      <c r="E31" s="8" t="s">
        <v>17</v>
      </c>
      <c r="F31" s="8">
        <v>1</v>
      </c>
      <c r="G31" s="8">
        <v>1</v>
      </c>
      <c r="H31" s="8">
        <v>1</v>
      </c>
      <c r="I31" s="8">
        <v>0</v>
      </c>
      <c r="J31" s="8" t="s">
        <v>17</v>
      </c>
      <c r="K31" s="8">
        <v>4.3</v>
      </c>
      <c r="L31" s="8">
        <f t="shared" si="3"/>
        <v>5</v>
      </c>
      <c r="M31" s="9"/>
    </row>
    <row r="32" spans="1:13" ht="38.75" customHeight="1">
      <c r="A32" s="8">
        <v>4</v>
      </c>
      <c r="B32" s="8" t="s">
        <v>23</v>
      </c>
      <c r="C32" s="8" t="s">
        <v>24</v>
      </c>
      <c r="D32" s="8" t="s">
        <v>25</v>
      </c>
      <c r="E32" s="8" t="s">
        <v>17</v>
      </c>
      <c r="F32" s="8">
        <v>1</v>
      </c>
      <c r="G32" s="8">
        <v>0</v>
      </c>
      <c r="H32" s="8">
        <v>2</v>
      </c>
      <c r="I32" s="8">
        <v>0</v>
      </c>
      <c r="J32" s="8" t="s">
        <v>17</v>
      </c>
      <c r="K32" s="8">
        <v>1.5</v>
      </c>
      <c r="L32" s="8">
        <f t="shared" si="3"/>
        <v>5</v>
      </c>
      <c r="M32" s="9"/>
    </row>
    <row r="33" spans="1:13" ht="38.75" customHeight="1">
      <c r="A33" s="8">
        <v>5</v>
      </c>
      <c r="B33" s="8" t="s">
        <v>23</v>
      </c>
      <c r="C33" s="8" t="s">
        <v>26</v>
      </c>
      <c r="D33" s="8" t="s">
        <v>27</v>
      </c>
      <c r="E33" s="8" t="s">
        <v>17</v>
      </c>
      <c r="F33" s="8">
        <v>2</v>
      </c>
      <c r="G33" s="8">
        <v>2</v>
      </c>
      <c r="H33" s="8">
        <v>2</v>
      </c>
      <c r="I33" s="8">
        <v>2</v>
      </c>
      <c r="J33" s="8" t="s">
        <v>17</v>
      </c>
      <c r="K33" s="8">
        <v>1.69</v>
      </c>
      <c r="L33" s="8">
        <f t="shared" si="3"/>
        <v>5</v>
      </c>
      <c r="M33" s="9"/>
    </row>
    <row r="34" spans="1:13" ht="38.75" customHeight="1">
      <c r="A34" s="8">
        <v>6</v>
      </c>
      <c r="B34" s="8" t="s">
        <v>28</v>
      </c>
      <c r="C34" s="8" t="s">
        <v>29</v>
      </c>
      <c r="D34" s="8" t="s">
        <v>30</v>
      </c>
      <c r="E34" s="8" t="s">
        <v>17</v>
      </c>
      <c r="F34" s="8">
        <v>1</v>
      </c>
      <c r="G34" s="8">
        <v>1</v>
      </c>
      <c r="H34" s="8">
        <v>2</v>
      </c>
      <c r="I34" s="8">
        <v>1</v>
      </c>
      <c r="J34" s="8" t="s">
        <v>17</v>
      </c>
      <c r="K34" s="8">
        <v>2.1</v>
      </c>
      <c r="L34" s="8">
        <f t="shared" si="3"/>
        <v>5</v>
      </c>
      <c r="M34" s="9"/>
    </row>
    <row r="35" spans="1:13" ht="38.75" customHeight="1">
      <c r="A35" s="8">
        <v>7</v>
      </c>
      <c r="B35" s="8" t="s">
        <v>28</v>
      </c>
      <c r="C35" s="8" t="s">
        <v>31</v>
      </c>
      <c r="D35" s="8" t="s">
        <v>32</v>
      </c>
      <c r="E35" s="8" t="s">
        <v>17</v>
      </c>
      <c r="F35" s="8">
        <v>1</v>
      </c>
      <c r="G35" s="8">
        <v>0</v>
      </c>
      <c r="H35" s="8">
        <v>2</v>
      </c>
      <c r="I35" s="8">
        <v>0</v>
      </c>
      <c r="J35" s="8" t="s">
        <v>17</v>
      </c>
      <c r="K35" s="8">
        <v>1.77</v>
      </c>
      <c r="L35" s="8">
        <f t="shared" si="3"/>
        <v>5</v>
      </c>
      <c r="M35" s="9"/>
    </row>
    <row r="36" spans="1:13" ht="38.75" customHeight="1">
      <c r="A36" s="8">
        <v>8</v>
      </c>
      <c r="B36" s="8" t="s">
        <v>33</v>
      </c>
      <c r="C36" s="8" t="s">
        <v>34</v>
      </c>
      <c r="D36" s="8" t="s">
        <v>30</v>
      </c>
      <c r="E36" s="8">
        <v>1</v>
      </c>
      <c r="F36" s="8">
        <v>1</v>
      </c>
      <c r="G36" s="8">
        <v>0</v>
      </c>
      <c r="H36" s="8">
        <v>2</v>
      </c>
      <c r="I36" s="8">
        <v>0</v>
      </c>
      <c r="J36" s="8" t="s">
        <v>17</v>
      </c>
      <c r="K36" s="8">
        <v>1.56</v>
      </c>
      <c r="L36" s="8">
        <f t="shared" si="3"/>
        <v>5</v>
      </c>
      <c r="M36" s="9"/>
    </row>
    <row r="37" spans="1:13" ht="38.75" customHeight="1">
      <c r="A37" s="8">
        <v>9</v>
      </c>
      <c r="B37" s="8" t="s">
        <v>33</v>
      </c>
      <c r="C37" s="8" t="s">
        <v>35</v>
      </c>
      <c r="D37" s="8" t="s">
        <v>36</v>
      </c>
      <c r="E37" s="8">
        <v>2</v>
      </c>
      <c r="F37" s="8">
        <v>2</v>
      </c>
      <c r="G37" s="8">
        <v>2</v>
      </c>
      <c r="H37" s="8">
        <v>2</v>
      </c>
      <c r="I37" s="8">
        <v>2</v>
      </c>
      <c r="J37" s="8" t="s">
        <v>17</v>
      </c>
      <c r="K37" s="8">
        <v>2.4</v>
      </c>
      <c r="L37" s="8">
        <f t="shared" si="3"/>
        <v>5</v>
      </c>
      <c r="M37" s="9"/>
    </row>
    <row r="38" spans="1:13" ht="38.75" customHeight="1">
      <c r="A38" s="8">
        <v>10</v>
      </c>
      <c r="B38" s="8" t="s">
        <v>37</v>
      </c>
      <c r="C38" s="8" t="s">
        <v>38</v>
      </c>
      <c r="D38" s="8" t="s">
        <v>39</v>
      </c>
      <c r="E38" s="8" t="s">
        <v>17</v>
      </c>
      <c r="F38" s="8">
        <v>2</v>
      </c>
      <c r="G38" s="8">
        <v>2</v>
      </c>
      <c r="H38" s="8">
        <v>2</v>
      </c>
      <c r="I38" s="8">
        <v>2</v>
      </c>
      <c r="J38" s="8">
        <v>2</v>
      </c>
      <c r="K38" s="8">
        <v>1.47</v>
      </c>
      <c r="L38" s="8">
        <f t="shared" si="3"/>
        <v>5</v>
      </c>
      <c r="M38" s="9"/>
    </row>
  </sheetData>
  <mergeCells count="3">
    <mergeCell ref="A1:M1"/>
    <mergeCell ref="A2:M2"/>
    <mergeCell ref="O6:O8"/>
  </mergeCells>
  <phoneticPr fontId="6" type="noConversion"/>
  <conditionalFormatting sqref="L5:L1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9:L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qref="E5:J14 E17:J26 E29:J38" xr:uid="{00000000-0002-0000-0000-000000000000}">
      <formula1>"0,1,2"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4"/>
  <cols>
    <col min="1" max="1" width="20" customWidth="1"/>
    <col min="2" max="2" width="10" customWidth="1"/>
    <col min="3" max="5" width="14" customWidth="1"/>
    <col min="6" max="6" width="42" customWidth="1"/>
  </cols>
  <sheetData>
    <row r="1" spans="1:6" ht="18.649999999999999" customHeight="1">
      <c r="A1" s="24" t="s">
        <v>40</v>
      </c>
      <c r="B1" s="24"/>
      <c r="C1" s="24"/>
      <c r="D1" s="24"/>
      <c r="E1" s="24"/>
      <c r="F1" s="24"/>
    </row>
    <row r="3" spans="1:6" ht="22.65" customHeight="1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</row>
    <row r="4" spans="1:6" ht="28" customHeight="1">
      <c r="A4" s="2" t="s">
        <v>47</v>
      </c>
      <c r="B4" s="2">
        <v>10</v>
      </c>
      <c r="C4" s="5">
        <f>IF(COUNT('평가 입력'!E12:E13)=0,"",AVERAGE('평가 입력'!E12:E13))</f>
        <v>1.5</v>
      </c>
      <c r="D4" s="5">
        <f>IF(C4="","",C4/2*B4)</f>
        <v>7.5</v>
      </c>
      <c r="E4" s="2" t="s">
        <v>48</v>
      </c>
      <c r="F4" s="2" t="s">
        <v>49</v>
      </c>
    </row>
    <row r="5" spans="1:6" ht="28" customHeight="1">
      <c r="A5" s="2" t="s">
        <v>50</v>
      </c>
      <c r="B5" s="2">
        <v>20</v>
      </c>
      <c r="C5" s="5">
        <f>IF(COUNT('평가 입력'!F5:F13)=0,"",AVERAGE('평가 입력'!F5:F13))</f>
        <v>1.4444444444444444</v>
      </c>
      <c r="D5" s="5">
        <f>IF(C5="","",C5/2*B5)</f>
        <v>14.444444444444445</v>
      </c>
      <c r="E5" s="2" t="s">
        <v>51</v>
      </c>
      <c r="F5" s="2" t="s">
        <v>52</v>
      </c>
    </row>
    <row r="6" spans="1:6" ht="28" customHeight="1">
      <c r="A6" s="2" t="s">
        <v>53</v>
      </c>
      <c r="B6" s="2">
        <v>50</v>
      </c>
      <c r="C6" s="5">
        <f>IF(COUNT('평가 입력'!G5:I13)=0,"",SUM('평가 입력'!G5:I13)/COUNT('평가 입력'!G5:I13))</f>
        <v>1.3333333333333333</v>
      </c>
      <c r="D6" s="5">
        <f>IF(C6="","",C6/2*B6)</f>
        <v>33.333333333333329</v>
      </c>
      <c r="E6" s="2" t="s">
        <v>51</v>
      </c>
      <c r="F6" s="2" t="s">
        <v>54</v>
      </c>
    </row>
    <row r="7" spans="1:6" ht="28" customHeight="1">
      <c r="A7" s="2" t="s">
        <v>55</v>
      </c>
      <c r="B7" s="2">
        <v>15</v>
      </c>
      <c r="C7" s="5">
        <f>IF(COUNT('평가 입력'!J14)=0,"",'평가 입력'!J14)</f>
        <v>2</v>
      </c>
      <c r="D7" s="5">
        <f>IF(C7="","",C7/2*B7)</f>
        <v>15</v>
      </c>
      <c r="E7" s="2" t="s">
        <v>56</v>
      </c>
      <c r="F7" s="2" t="s">
        <v>57</v>
      </c>
    </row>
    <row r="8" spans="1:6" ht="28" customHeight="1">
      <c r="A8" s="2" t="s">
        <v>58</v>
      </c>
      <c r="B8" s="2">
        <v>5</v>
      </c>
      <c r="C8" s="5">
        <f>IF(COUNT('평가 입력'!L5:L14)=0,"",AVERAGE('평가 입력'!L5:L14))</f>
        <v>4.9000000000000004</v>
      </c>
      <c r="D8" s="5">
        <f>IF(C8="","",C8/5*B8)</f>
        <v>4.9000000000000004</v>
      </c>
      <c r="E8" s="2" t="s">
        <v>59</v>
      </c>
      <c r="F8" s="2" t="s">
        <v>60</v>
      </c>
    </row>
    <row r="10" spans="1:6" ht="16.5">
      <c r="A10" s="25" t="s">
        <v>61</v>
      </c>
      <c r="B10" s="25"/>
      <c r="C10" s="25"/>
      <c r="D10" s="4">
        <f>IF(COUNT(D4:D8)&lt;5,"",SUM(D4:D8))</f>
        <v>75.177777777777777</v>
      </c>
    </row>
    <row r="12" spans="1:6">
      <c r="A12" s="26" t="s">
        <v>62</v>
      </c>
      <c r="B12" s="26"/>
      <c r="C12" s="26"/>
      <c r="D12" s="26"/>
      <c r="E12" s="26"/>
      <c r="F12" s="26"/>
    </row>
    <row r="13" spans="1:6" ht="28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68</v>
      </c>
    </row>
    <row r="14" spans="1:6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73</v>
      </c>
      <c r="F14" s="3" t="s">
        <v>74</v>
      </c>
    </row>
  </sheetData>
  <mergeCells count="3">
    <mergeCell ref="A1:F1"/>
    <mergeCell ref="A10:C10"/>
    <mergeCell ref="A12:F12"/>
  </mergeCells>
  <phoneticPr fontId="6" type="noConversion"/>
  <conditionalFormatting sqref="D4:D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{FCBD4E51-93F8-E890-115A-985DB9837075}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BD4E51-93F8-E890-115A-985DB9837075}">
            <x14:dataBar>
              <x14:cfvo type="min"/>
              <x14:cfvo type="max"/>
              <x14:negativeFillColor auto="1"/>
              <x14:axisColor auto="1"/>
            </x14:dataBar>
          </x14:cfRule>
          <xm:sqref>D4:D8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4"/>
  <cols>
    <col min="1" max="1" width="20" customWidth="1"/>
    <col min="2" max="2" width="10" customWidth="1"/>
    <col min="3" max="3" width="60" customWidth="1"/>
    <col min="4" max="4" width="18" customWidth="1"/>
  </cols>
  <sheetData>
    <row r="1" spans="1:4" ht="18.649999999999999" customHeight="1">
      <c r="A1" s="24" t="s">
        <v>75</v>
      </c>
      <c r="B1" s="24"/>
      <c r="C1" s="24"/>
      <c r="D1" s="24"/>
    </row>
    <row r="3" spans="1:4" ht="21.4" customHeight="1">
      <c r="A3" s="1" t="s">
        <v>76</v>
      </c>
      <c r="B3" s="1" t="s">
        <v>77</v>
      </c>
      <c r="C3" s="1" t="s">
        <v>78</v>
      </c>
      <c r="D3" s="1" t="s">
        <v>79</v>
      </c>
    </row>
    <row r="4" spans="1:4" ht="22.65" customHeight="1">
      <c r="A4" s="2" t="s">
        <v>80</v>
      </c>
      <c r="B4" s="3" t="s">
        <v>81</v>
      </c>
      <c r="C4" s="2" t="s">
        <v>82</v>
      </c>
      <c r="D4" s="2"/>
    </row>
    <row r="5" spans="1:4" ht="22.65" customHeight="1">
      <c r="A5" s="2" t="s">
        <v>80</v>
      </c>
      <c r="B5" s="3" t="s">
        <v>83</v>
      </c>
      <c r="C5" s="2" t="s">
        <v>84</v>
      </c>
      <c r="D5" s="2"/>
    </row>
    <row r="6" spans="1:4" ht="22.65" customHeight="1">
      <c r="A6" s="2" t="s">
        <v>80</v>
      </c>
      <c r="B6" s="3" t="s">
        <v>85</v>
      </c>
      <c r="C6" s="2" t="s">
        <v>86</v>
      </c>
      <c r="D6" s="2"/>
    </row>
    <row r="7" spans="1:4" ht="22.65" customHeight="1">
      <c r="A7" s="2" t="s">
        <v>87</v>
      </c>
      <c r="B7" s="3" t="s">
        <v>81</v>
      </c>
      <c r="C7" s="2" t="s">
        <v>88</v>
      </c>
      <c r="D7" s="2"/>
    </row>
    <row r="8" spans="1:4" ht="22.65" customHeight="1">
      <c r="A8" s="2" t="s">
        <v>87</v>
      </c>
      <c r="B8" s="3" t="s">
        <v>83</v>
      </c>
      <c r="C8" s="2" t="s">
        <v>89</v>
      </c>
      <c r="D8" s="2"/>
    </row>
    <row r="9" spans="1:4" ht="22.65" customHeight="1">
      <c r="A9" s="2" t="s">
        <v>87</v>
      </c>
      <c r="B9" s="3" t="s">
        <v>85</v>
      </c>
      <c r="C9" s="2" t="s">
        <v>90</v>
      </c>
      <c r="D9" s="2"/>
    </row>
    <row r="10" spans="1:4" ht="22.65" customHeight="1">
      <c r="A10" s="2" t="s">
        <v>91</v>
      </c>
      <c r="B10" s="3" t="s">
        <v>81</v>
      </c>
      <c r="C10" s="2" t="s">
        <v>92</v>
      </c>
      <c r="D10" s="2"/>
    </row>
    <row r="11" spans="1:4" ht="22.65" customHeight="1">
      <c r="A11" s="2" t="s">
        <v>91</v>
      </c>
      <c r="B11" s="3" t="s">
        <v>83</v>
      </c>
      <c r="C11" s="2" t="s">
        <v>93</v>
      </c>
      <c r="D11" s="2"/>
    </row>
    <row r="12" spans="1:4" ht="22.65" customHeight="1">
      <c r="A12" s="2" t="s">
        <v>91</v>
      </c>
      <c r="B12" s="3" t="s">
        <v>85</v>
      </c>
      <c r="C12" s="2" t="s">
        <v>94</v>
      </c>
      <c r="D12" s="2"/>
    </row>
    <row r="13" spans="1:4" ht="22.65" customHeight="1">
      <c r="A13" s="2" t="s">
        <v>55</v>
      </c>
      <c r="B13" s="3" t="s">
        <v>81</v>
      </c>
      <c r="C13" s="2" t="s">
        <v>95</v>
      </c>
      <c r="D13" s="2" t="s">
        <v>56</v>
      </c>
    </row>
    <row r="14" spans="1:4" ht="22.65" customHeight="1">
      <c r="A14" s="2" t="s">
        <v>55</v>
      </c>
      <c r="B14" s="3" t="s">
        <v>83</v>
      </c>
      <c r="C14" s="2" t="s">
        <v>96</v>
      </c>
      <c r="D14" s="2" t="s">
        <v>56</v>
      </c>
    </row>
    <row r="15" spans="1:4" ht="22.65" customHeight="1">
      <c r="A15" s="2" t="s">
        <v>55</v>
      </c>
      <c r="B15" s="3" t="s">
        <v>85</v>
      </c>
      <c r="C15" s="2" t="s">
        <v>97</v>
      </c>
      <c r="D15" s="2" t="s">
        <v>56</v>
      </c>
    </row>
    <row r="16" spans="1:4" ht="22.65" customHeight="1">
      <c r="A16" s="2" t="s">
        <v>50</v>
      </c>
      <c r="B16" s="3" t="s">
        <v>81</v>
      </c>
      <c r="C16" s="2" t="s">
        <v>98</v>
      </c>
      <c r="D16" s="2"/>
    </row>
    <row r="17" spans="1:4" ht="22.65" customHeight="1">
      <c r="A17" s="2" t="s">
        <v>50</v>
      </c>
      <c r="B17" s="3" t="s">
        <v>83</v>
      </c>
      <c r="C17" s="2" t="s">
        <v>99</v>
      </c>
      <c r="D17" s="2"/>
    </row>
    <row r="18" spans="1:4" ht="22.65" customHeight="1">
      <c r="A18" s="2" t="s">
        <v>50</v>
      </c>
      <c r="B18" s="3" t="s">
        <v>85</v>
      </c>
      <c r="C18" s="2" t="s">
        <v>100</v>
      </c>
      <c r="D18" s="2"/>
    </row>
    <row r="19" spans="1:4" ht="22.65" customHeight="1">
      <c r="A19" s="2" t="s">
        <v>47</v>
      </c>
      <c r="B19" s="3" t="s">
        <v>81</v>
      </c>
      <c r="C19" s="2" t="s">
        <v>101</v>
      </c>
      <c r="D19" s="2" t="s">
        <v>48</v>
      </c>
    </row>
    <row r="20" spans="1:4" ht="22.65" customHeight="1">
      <c r="A20" s="2" t="s">
        <v>47</v>
      </c>
      <c r="B20" s="3" t="s">
        <v>83</v>
      </c>
      <c r="C20" s="2" t="s">
        <v>102</v>
      </c>
      <c r="D20" s="2" t="s">
        <v>48</v>
      </c>
    </row>
    <row r="21" spans="1:4" ht="22.65" customHeight="1">
      <c r="A21" s="2" t="s">
        <v>47</v>
      </c>
      <c r="B21" s="3" t="s">
        <v>85</v>
      </c>
      <c r="C21" s="2" t="s">
        <v>103</v>
      </c>
      <c r="D21" s="2" t="s">
        <v>48</v>
      </c>
    </row>
    <row r="24" spans="1:4">
      <c r="A24" s="26" t="s">
        <v>104</v>
      </c>
      <c r="B24" s="26"/>
      <c r="C24" s="26"/>
      <c r="D24" s="26"/>
    </row>
    <row r="25" spans="1:4">
      <c r="A25" s="1" t="s">
        <v>58</v>
      </c>
      <c r="B25" s="1" t="s">
        <v>77</v>
      </c>
    </row>
    <row r="26" spans="1:4">
      <c r="A26" s="2" t="s">
        <v>63</v>
      </c>
      <c r="B26" s="2">
        <v>5</v>
      </c>
    </row>
    <row r="27" spans="1:4">
      <c r="A27" s="2" t="s">
        <v>105</v>
      </c>
      <c r="B27" s="2">
        <v>4</v>
      </c>
    </row>
    <row r="28" spans="1:4">
      <c r="A28" s="2" t="s">
        <v>106</v>
      </c>
      <c r="B28" s="2">
        <v>3</v>
      </c>
    </row>
    <row r="29" spans="1:4">
      <c r="A29" s="2" t="s">
        <v>107</v>
      </c>
      <c r="B29" s="2">
        <v>2</v>
      </c>
    </row>
    <row r="30" spans="1:4">
      <c r="A30" s="2" t="s">
        <v>108</v>
      </c>
      <c r="B30" s="2">
        <v>1</v>
      </c>
    </row>
    <row r="31" spans="1:4">
      <c r="A31" s="2" t="s">
        <v>68</v>
      </c>
      <c r="B31" s="2">
        <v>0</v>
      </c>
    </row>
  </sheetData>
  <mergeCells count="2">
    <mergeCell ref="A1:D1"/>
    <mergeCell ref="A24:D2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평가 입력</vt:lpstr>
      <vt:lpstr>결과 요약</vt:lpstr>
      <vt:lpstr>채점 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가연 김</cp:lastModifiedBy>
  <dcterms:created xsi:type="dcterms:W3CDTF">2026-08-29T05:45:00Z</dcterms:created>
  <dcterms:modified xsi:type="dcterms:W3CDTF">2026-08-29T13:51:40Z</dcterms:modified>
</cp:coreProperties>
</file>